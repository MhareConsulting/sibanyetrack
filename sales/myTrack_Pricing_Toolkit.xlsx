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Inputs" sheetId="1" state="visible" r:id="rId1"/>
    <sheet xmlns:r="http://schemas.openxmlformats.org/officeDocument/2006/relationships" name="Quote Builder" sheetId="2" state="visible" r:id="rId2"/>
    <sheet xmlns:r="http://schemas.openxmlformats.org/officeDocument/2006/relationships" name="Tier Pricing" sheetId="3" state="visible" r:id="rId3"/>
    <sheet xmlns:r="http://schemas.openxmlformats.org/officeDocument/2006/relationships" name="Quo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&quot;#,##0;(&quot;R&quot;#,##0);&quot;-&quot;"/>
    <numFmt numFmtId="165" formatCode="&quot;R&quot;#,##0.00;(&quot;R&quot;#,##0.00);&quot;-&quot;"/>
    <numFmt numFmtId="166" formatCode="0.0%"/>
  </numFmts>
  <fonts count="13">
    <font>
      <name val="Calibri"/>
      <family val="2"/>
      <color theme="1"/>
      <sz val="11"/>
      <scheme val="minor"/>
    </font>
    <font>
      <name val="Inter"/>
      <b val="1"/>
      <color rgb="00FFFFFF"/>
      <sz val="16"/>
    </font>
    <font>
      <name val="Inter"/>
      <i val="1"/>
      <color rgb="00555555"/>
      <sz val="9"/>
    </font>
    <font>
      <name val="Inter"/>
      <b val="1"/>
      <color rgb="00FFFFFF"/>
      <sz val="11"/>
    </font>
    <font>
      <name val="Inter"/>
      <color rgb="000A0A0A"/>
      <sz val="11"/>
    </font>
    <font>
      <name val="Inter"/>
      <color rgb="000000FF"/>
      <sz val="11"/>
    </font>
    <font>
      <name val="Inter"/>
      <color rgb="00555555"/>
      <sz val="9"/>
    </font>
    <font>
      <name val="Inter"/>
      <b val="1"/>
      <color rgb="000A0A0A"/>
      <sz val="11"/>
    </font>
    <font>
      <name val="Inter"/>
      <color rgb="00008000"/>
      <sz val="11"/>
    </font>
    <font>
      <name val="Inter"/>
      <b val="1"/>
      <color rgb="00008000"/>
      <sz val="11"/>
    </font>
    <font>
      <name val="Inter"/>
      <b val="1"/>
      <color rgb="00FFFFFF"/>
      <sz val="9"/>
    </font>
    <font>
      <name val="Inter"/>
      <i val="1"/>
      <color rgb="008A2BE2"/>
      <sz val="11"/>
    </font>
    <font>
      <name val="Inter"/>
      <b val="1"/>
      <color rgb="00008000"/>
      <sz val="13"/>
    </font>
  </fonts>
  <fills count="6">
    <fill>
      <patternFill/>
    </fill>
    <fill>
      <patternFill patternType="gray125"/>
    </fill>
    <fill>
      <patternFill patternType="solid">
        <fgColor rgb="008A2BE2"/>
        <bgColor rgb="008A2BE2"/>
      </patternFill>
    </fill>
    <fill>
      <patternFill patternType="solid">
        <fgColor rgb="0000C8FF"/>
        <bgColor rgb="0000C8FF"/>
      </patternFill>
    </fill>
    <fill>
      <patternFill patternType="solid">
        <fgColor rgb="00FFFF00"/>
        <bgColor rgb="00FFFF00"/>
      </patternFill>
    </fill>
    <fill>
      <patternFill patternType="solid">
        <fgColor rgb="00EEF0FB"/>
        <bgColor rgb="00EEF0FB"/>
      </patternFill>
    </fill>
  </fills>
  <borders count="5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  <border>
      <left/>
      <right/>
      <top style="thin">
        <color rgb="00C5CAE9"/>
      </top>
      <bottom/>
      <diagonal/>
    </border>
    <border>
      <left/>
      <right style="thin">
        <color rgb="00C5CAE9"/>
      </right>
      <top style="thin">
        <color rgb="00C5CAE9"/>
      </top>
      <bottom/>
      <diagonal/>
    </border>
    <border>
      <left/>
      <right style="thin">
        <color rgb="00C5CAE9"/>
      </right>
      <top style="thin">
        <color rgb="00C5CAE9"/>
      </top>
      <bottom style="thin">
        <color rgb="00C5CAE9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164" fontId="5" fillId="4" borderId="1" pivotButton="0" quotePrefix="0" xfId="0"/>
    <xf numFmtId="0" fontId="6" fillId="0" borderId="0" pivotButton="0" quotePrefix="0" xfId="0"/>
    <xf numFmtId="0" fontId="0" fillId="3" borderId="0" pivotButton="0" quotePrefix="0" xfId="0"/>
    <xf numFmtId="165" fontId="5" fillId="4" borderId="1" pivotButton="0" quotePrefix="0" xfId="0"/>
    <xf numFmtId="166" fontId="5" fillId="4" borderId="1" pivotButton="0" quotePrefix="0" xfId="0"/>
    <xf numFmtId="1" fontId="5" fillId="4" borderId="1" pivotButton="0" quotePrefix="0" xfId="0"/>
    <xf numFmtId="0" fontId="7" fillId="0" borderId="0" pivotButton="0" quotePrefix="0" xfId="0"/>
    <xf numFmtId="0" fontId="5" fillId="4" borderId="1" pivotButton="0" quotePrefix="0" xfId="0"/>
    <xf numFmtId="0" fontId="0" fillId="0" borderId="4" pivotButton="0" quotePrefix="0" xfId="0"/>
    <xf numFmtId="1" fontId="7" fillId="0" borderId="0" pivotButton="0" quotePrefix="0" xfId="0"/>
    <xf numFmtId="166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164" fontId="0" fillId="0" borderId="1" pivotButton="0" quotePrefix="0" xfId="0"/>
    <xf numFmtId="166" fontId="0" fillId="0" borderId="1" pivotButton="0" quotePrefix="0" xfId="0"/>
    <xf numFmtId="1" fontId="4" fillId="0" borderId="0" pivotButton="0" quotePrefix="0" xfId="0"/>
    <xf numFmtId="164" fontId="4" fillId="0" borderId="0" pivotButton="0" quotePrefix="0" xfId="0"/>
    <xf numFmtId="164" fontId="8" fillId="0" borderId="0" pivotButton="0" quotePrefix="0" xfId="0"/>
    <xf numFmtId="164" fontId="7" fillId="5" borderId="0" pivotButton="0" quotePrefix="0" xfId="0"/>
    <xf numFmtId="164" fontId="0" fillId="0" borderId="0" pivotButton="0" quotePrefix="0" xfId="0"/>
    <xf numFmtId="1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0" fontId="11" fillId="0" borderId="0" pivotButton="0" quotePrefix="0" xfId="0"/>
    <xf numFmtId="1" fontId="9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4" fontId="12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2" customWidth="1" min="3" max="3"/>
  </cols>
  <sheetData>
    <row r="1" ht="26" customHeight="1">
      <c r="A1" s="1" t="inlineStr">
        <is>
          <t>myTrack — Cost Inputs</t>
        </is>
      </c>
    </row>
    <row r="2">
      <c r="A2" s="2" t="inlineStr">
        <is>
          <t>Track it. Protect it. myTrack.   |   EDIT the yellow cells with YOUR real costs. All values below are illustrative placeholders, not real prices.</t>
        </is>
      </c>
    </row>
    <row r="4">
      <c r="A4" s="3" t="inlineStr">
        <is>
          <t>A.  HARDWARE — once-off cost per item</t>
        </is>
      </c>
      <c r="B4" s="4" t="inlineStr">
        <is>
          <t>Cost (R)</t>
        </is>
      </c>
      <c r="C4" s="5" t="inlineStr">
        <is>
          <t>Notes</t>
        </is>
      </c>
    </row>
    <row r="5">
      <c r="A5" s="6" t="inlineStr">
        <is>
          <t>Teltonika FMB GPS tracker</t>
        </is>
      </c>
      <c r="B5" s="7" t="n">
        <v>1200</v>
      </c>
      <c r="C5" s="8" t="inlineStr">
        <is>
          <t>Core unit fitted to every vehicle</t>
        </is>
      </c>
    </row>
    <row r="6">
      <c r="A6" s="6" t="inlineStr">
        <is>
          <t>CAN adapter (LV-CAN200)</t>
        </is>
      </c>
      <c r="B6" s="7" t="n">
        <v>1800</v>
      </c>
      <c r="C6" s="8" t="inlineStr">
        <is>
          <t>For CAN-bus fuel/ECU data</t>
        </is>
      </c>
    </row>
    <row r="7">
      <c r="A7" s="6" t="inlineStr">
        <is>
          <t>OBD harness / plug</t>
        </is>
      </c>
      <c r="B7" s="7" t="n">
        <v>350</v>
      </c>
      <c r="C7" s="8" t="inlineStr">
        <is>
          <t>Alternative to CAN on light vehicles</t>
        </is>
      </c>
    </row>
    <row r="8">
      <c r="A8" s="6" t="inlineStr">
        <is>
          <t>LLS fuel probe (fallback)</t>
        </is>
      </c>
      <c r="B8" s="7" t="n">
        <v>2200</v>
      </c>
      <c r="C8" s="8" t="inlineStr">
        <is>
          <t>Tank probe for non-CAN vehicles</t>
        </is>
      </c>
    </row>
    <row r="9">
      <c r="A9" s="6" t="inlineStr">
        <is>
          <t>Panic button</t>
        </is>
      </c>
      <c r="B9" s="7" t="n">
        <v>180</v>
      </c>
      <c r="C9" s="8" t="inlineStr">
        <is>
          <t>Driver duress alert</t>
        </is>
      </c>
    </row>
    <row r="10">
      <c r="A10" s="6" t="inlineStr">
        <is>
          <t>Immobiliser / relay cut-off</t>
        </is>
      </c>
      <c r="B10" s="7" t="n">
        <v>450</v>
      </c>
      <c r="C10" s="8" t="inlineStr">
        <is>
          <t>Remote engine disable</t>
        </is>
      </c>
    </row>
    <row r="11">
      <c r="A11" s="6" t="inlineStr">
        <is>
          <t>RFID / iButton driver ID</t>
        </is>
      </c>
      <c r="B11" s="7" t="n">
        <v>320</v>
      </c>
      <c r="C11" s="8" t="inlineStr">
        <is>
          <t>Driver identification</t>
        </is>
      </c>
    </row>
    <row r="12">
      <c r="A12" s="6" t="inlineStr">
        <is>
          <t>Temperature sensor (reefer)</t>
        </is>
      </c>
      <c r="B12" s="7" t="n">
        <v>650</v>
      </c>
      <c r="C12" s="8" t="inlineStr">
        <is>
          <t>Cold-chain monitoring</t>
        </is>
      </c>
    </row>
    <row r="13">
      <c r="A13" s="6" t="inlineStr">
        <is>
          <t>Backup battery</t>
        </is>
      </c>
      <c r="B13" s="7" t="n">
        <v>280</v>
      </c>
      <c r="C13" s="8" t="inlineStr">
        <is>
          <t>Survives main-power tamper</t>
        </is>
      </c>
    </row>
    <row r="14">
      <c r="A14" s="6" t="inlineStr">
        <is>
          <t>SIM card (once-off)</t>
        </is>
      </c>
      <c r="B14" s="7" t="n">
        <v>50</v>
      </c>
      <c r="C14" s="8" t="inlineStr">
        <is>
          <t>Connectivity SIM provisioning</t>
        </is>
      </c>
    </row>
    <row r="15">
      <c r="A15" s="6" t="inlineStr">
        <is>
          <t>Harness / cabling / consumables</t>
        </is>
      </c>
      <c r="B15" s="7" t="n">
        <v>150</v>
      </c>
      <c r="C15" s="8" t="inlineStr">
        <is>
          <t>Fitting consumables per vehicle</t>
        </is>
      </c>
    </row>
    <row r="17">
      <c r="A17" s="3" t="inlineStr">
        <is>
          <t>B.  INSTALLATION &amp; INITIATION</t>
        </is>
      </c>
      <c r="B17" s="9" t="n"/>
      <c r="C17" s="9" t="n"/>
    </row>
    <row r="18">
      <c r="A18" s="6" t="inlineStr">
        <is>
          <t>Install labour — Basic (plug &amp; play) /vehicle</t>
        </is>
      </c>
      <c r="B18" s="7" t="n">
        <v>250</v>
      </c>
      <c r="C18" s="8" t="inlineStr">
        <is>
          <t>OBD plug, no wiring</t>
        </is>
      </c>
    </row>
    <row r="19">
      <c r="A19" s="6" t="inlineStr">
        <is>
          <t>Install labour — Standard (wired + CAN) /vehicle</t>
        </is>
      </c>
      <c r="B19" s="7" t="n">
        <v>650</v>
      </c>
      <c r="C19" s="8" t="inlineStr">
        <is>
          <t>Hard-wired + CAN tap</t>
        </is>
      </c>
    </row>
    <row r="20">
      <c r="A20" s="6" t="inlineStr">
        <is>
          <t>Install labour — Advanced (probe + calibration) /vehicle</t>
        </is>
      </c>
      <c r="B20" s="7" t="n">
        <v>1400</v>
      </c>
      <c r="C20" s="8" t="inlineStr">
        <is>
          <t>Tank probe + calibration</t>
        </is>
      </c>
    </row>
    <row r="21">
      <c r="A21" s="6" t="inlineStr">
        <is>
          <t>Auto-electrician call-out /visit</t>
        </is>
      </c>
      <c r="B21" s="7" t="n">
        <v>450</v>
      </c>
      <c r="C21" s="8" t="inlineStr">
        <is>
          <t>Per site visit if required</t>
        </is>
      </c>
    </row>
    <row r="22">
      <c r="A22" s="6" t="inlineStr">
        <is>
          <t>Travel cost /km</t>
        </is>
      </c>
      <c r="B22" s="10" t="n">
        <v>8</v>
      </c>
      <c r="C22" s="8" t="inlineStr">
        <is>
          <t>Mobile install / remote sites</t>
        </is>
      </c>
    </row>
    <row r="23">
      <c r="A23" s="6" t="inlineStr">
        <is>
          <t>Account initiation fee (per account)</t>
        </is>
      </c>
      <c r="B23" s="7" t="n">
        <v>3500</v>
      </c>
      <c r="C23" s="8" t="inlineStr">
        <is>
          <t>Platform setup, geofences, users, data load, training</t>
        </is>
      </c>
    </row>
    <row r="25">
      <c r="A25" s="3" t="inlineStr">
        <is>
          <t>C.  MONTHLY RUN COST — per unit / month</t>
        </is>
      </c>
      <c r="B25" s="9" t="n"/>
      <c r="C25" s="9" t="n"/>
    </row>
    <row r="26">
      <c r="A26" s="6" t="inlineStr">
        <is>
          <t>SIM / data</t>
        </is>
      </c>
      <c r="B26" s="7" t="n">
        <v>35</v>
      </c>
      <c r="C26" s="8" t="inlineStr">
        <is>
          <t>Recurring connectivity</t>
        </is>
      </c>
    </row>
    <row r="27">
      <c r="A27" s="6" t="inlineStr">
        <is>
          <t>Platform hosting allocation</t>
        </is>
      </c>
      <c r="B27" s="7" t="n">
        <v>18</v>
      </c>
      <c r="C27" s="8" t="inlineStr">
        <is>
          <t>Server / Azure share per unit</t>
        </is>
      </c>
    </row>
    <row r="28">
      <c r="A28" s="6" t="inlineStr">
        <is>
          <t>Software licence</t>
        </is>
      </c>
      <c r="B28" s="7" t="n">
        <v>25</v>
      </c>
      <c r="C28" s="8" t="inlineStr">
        <is>
          <t>Per-vehicle platform licence</t>
        </is>
      </c>
    </row>
    <row r="29">
      <c r="A29" s="6" t="inlineStr">
        <is>
          <t>Support &amp; maintenance reserve</t>
        </is>
      </c>
      <c r="B29" s="7" t="n">
        <v>20</v>
      </c>
      <c r="C29" s="8" t="inlineStr">
        <is>
          <t>Helpdesk + field support</t>
        </is>
      </c>
    </row>
    <row r="30">
      <c r="A30" s="6" t="inlineStr">
        <is>
          <t>Notifications (WhatsApp / SMS)</t>
        </is>
      </c>
      <c r="B30" s="7" t="n">
        <v>12</v>
      </c>
      <c r="C30" s="8" t="inlineStr">
        <is>
          <t>Driver &amp; alert messaging</t>
        </is>
      </c>
    </row>
    <row r="31">
      <c r="A31" s="6" t="inlineStr">
        <is>
          <t>Map / routing API allocation</t>
        </is>
      </c>
      <c r="B31" s="7" t="n">
        <v>8</v>
      </c>
      <c r="C31" s="8" t="inlineStr">
        <is>
          <t>Map tiles / speed limits / routing</t>
        </is>
      </c>
    </row>
    <row r="32">
      <c r="A32" s="6" t="inlineStr">
        <is>
          <t>Warranty / replacement reserve</t>
        </is>
      </c>
      <c r="B32" s="7" t="n">
        <v>15</v>
      </c>
      <c r="C32" s="8" t="inlineStr">
        <is>
          <t>Hardware failure provision</t>
        </is>
      </c>
    </row>
    <row r="34">
      <c r="A34" s="3" t="inlineStr">
        <is>
          <t>D.  PRICING LEVERS</t>
        </is>
      </c>
      <c r="B34" s="9" t="n"/>
      <c r="C34" s="9" t="n"/>
    </row>
    <row r="35">
      <c r="A35" s="6" t="inlineStr">
        <is>
          <t>Target gross margin % (on monthly run cost)</t>
        </is>
      </c>
      <c r="B35" s="11" t="n">
        <v>0.45</v>
      </c>
      <c r="C35" s="8" t="inlineStr">
        <is>
          <t>Markup applied to monthly cost</t>
        </is>
      </c>
    </row>
    <row r="36">
      <c r="A36" s="6" t="inlineStr">
        <is>
          <t>Hardware markup %</t>
        </is>
      </c>
      <c r="B36" s="11" t="n">
        <v>0.3</v>
      </c>
      <c r="C36" s="8" t="inlineStr">
        <is>
          <t>Margin applied to hardware cost</t>
        </is>
      </c>
    </row>
    <row r="37">
      <c r="A37" s="6" t="inlineStr">
        <is>
          <t>Installation markup %</t>
        </is>
      </c>
      <c r="B37" s="11" t="n">
        <v>0.2</v>
      </c>
      <c r="C37" s="8" t="inlineStr">
        <is>
          <t>Margin applied to install labour</t>
        </is>
      </c>
    </row>
    <row r="38">
      <c r="A38" s="6" t="inlineStr">
        <is>
          <t>Default contract term (months)</t>
        </is>
      </c>
      <c r="B38" s="12" t="n">
        <v>36</v>
      </c>
      <c r="C38" s="8" t="inlineStr">
        <is>
          <t>Used as default in Quote Builder</t>
        </is>
      </c>
    </row>
    <row r="39">
      <c r="A39" s="6" t="inlineStr">
        <is>
          <t>Volume discount — Small (5–20 units) %</t>
        </is>
      </c>
      <c r="B39" s="11" t="n">
        <v>0</v>
      </c>
      <c r="C39" s="8" t="inlineStr">
        <is>
          <t>Applied to monthly price</t>
        </is>
      </c>
    </row>
    <row r="40">
      <c r="A40" s="6" t="inlineStr">
        <is>
          <t>Volume discount — Medium (21–100 units) %</t>
        </is>
      </c>
      <c r="B40" s="11" t="n">
        <v>0.08</v>
      </c>
      <c r="C40" s="8" t="inlineStr">
        <is>
          <t>Applied to monthly price</t>
        </is>
      </c>
    </row>
    <row r="41">
      <c r="A41" s="6" t="inlineStr">
        <is>
          <t>Volume discount — Enterprise (100+ units) %</t>
        </is>
      </c>
      <c r="B41" s="11" t="n">
        <v>0.15</v>
      </c>
      <c r="C41" s="8" t="inlineStr">
        <is>
          <t>Applied to monthly price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1" customWidth="1" min="3" max="3"/>
    <col width="7" customWidth="1" min="4" max="4"/>
    <col width="12" customWidth="1" min="5" max="5"/>
    <col width="7" customWidth="1" min="6" max="6"/>
    <col width="12" customWidth="1" min="7" max="7"/>
    <col width="9" customWidth="1" min="8" max="8"/>
    <col width="13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5" customWidth="1" min="15" max="15"/>
    <col width="11" customWidth="1" min="16" max="16"/>
    <col width="15" customWidth="1" min="17" max="17"/>
    <col width="13" customWidth="1" min="18" max="18"/>
    <col width="14" customWidth="1" min="19" max="19"/>
    <col width="14" customWidth="1" min="20" max="20"/>
  </cols>
  <sheetData>
    <row r="1" ht="26" customHeight="1">
      <c r="A1" s="1" t="inlineStr">
        <is>
          <t>myTrack — Quote Builder</t>
        </is>
      </c>
    </row>
    <row r="2">
      <c r="A2" s="2" t="inlineStr">
        <is>
          <t>Enter your prospect's fleet below (yellow = your inputs). Green cells pull from Cost Inputs. Everything else is calculated.</t>
        </is>
      </c>
    </row>
    <row r="3">
      <c r="A3" s="13" t="inlineStr">
        <is>
          <t>Hardware billing:</t>
        </is>
      </c>
      <c r="B3" s="14" t="inlineStr">
        <is>
          <t>Amortised</t>
        </is>
      </c>
      <c r="C3" s="15" t="n"/>
      <c r="D3" s="13" t="inlineStr">
        <is>
          <t>Contract term (months):</t>
        </is>
      </c>
      <c r="F3" s="12">
        <f>+'Cost Inputs'!B38</f>
        <v/>
      </c>
    </row>
    <row r="4">
      <c r="A4" s="13" t="inlineStr">
        <is>
          <t>Total units:</t>
        </is>
      </c>
      <c r="B4" s="16">
        <f>SUM(B7:B12)</f>
        <v/>
      </c>
      <c r="D4" s="13" t="inlineStr">
        <is>
          <t>Fleet tier:</t>
        </is>
      </c>
      <c r="F4" s="13">
        <f>IF(B4=0,"-",IF(B4&lt;=20,"Small",IF(B4&lt;=100,"Medium","Enterprise")))</f>
        <v/>
      </c>
      <c r="H4" s="13" t="inlineStr">
        <is>
          <t>Volume discount applied:</t>
        </is>
      </c>
      <c r="K4" s="17">
        <f>IF(B4&lt;=20,'Cost Inputs'!B39,IF(B4&lt;=100,'Cost Inputs'!B40,'Cost Inputs'!B41))</f>
        <v/>
      </c>
    </row>
    <row r="6" ht="38" customHeight="1">
      <c r="A6" s="18" t="inlineStr">
        <is>
          <t>Vehicle group</t>
        </is>
      </c>
      <c r="B6" s="18" t="inlineStr">
        <is>
          <t>Qty</t>
        </is>
      </c>
      <c r="C6" s="18" t="inlineStr">
        <is>
          <t>Data source</t>
        </is>
      </c>
      <c r="D6" s="18" t="inlineStr">
        <is>
          <t>Panic</t>
        </is>
      </c>
      <c r="E6" s="18" t="inlineStr">
        <is>
          <t>Immobiliser</t>
        </is>
      </c>
      <c r="F6" s="18" t="inlineStr">
        <is>
          <t>RFID</t>
        </is>
      </c>
      <c r="G6" s="18" t="inlineStr">
        <is>
          <t>Temp sensor</t>
        </is>
      </c>
      <c r="H6" s="18" t="inlineStr">
        <is>
          <t>Backup batt</t>
        </is>
      </c>
      <c r="I6" s="18" t="inlineStr">
        <is>
          <t>Install level</t>
        </is>
      </c>
      <c r="J6" s="18" t="inlineStr">
        <is>
          <t>HW cost/unit</t>
        </is>
      </c>
      <c r="K6" s="18" t="inlineStr">
        <is>
          <t>Install cost/unit</t>
        </is>
      </c>
      <c r="L6" s="18" t="inlineStr">
        <is>
          <t>HW price/unit</t>
        </is>
      </c>
      <c r="M6" s="18" t="inlineStr">
        <is>
          <t>Install price/unit</t>
        </is>
      </c>
      <c r="N6" s="18" t="inlineStr">
        <is>
          <t>Run cost/unit/mo</t>
        </is>
      </c>
      <c r="O6" s="18" t="inlineStr">
        <is>
          <t>Monthly price/unit</t>
        </is>
      </c>
      <c r="P6" s="18" t="inlineStr">
        <is>
          <t>Disc %</t>
        </is>
      </c>
      <c r="Q6" s="18" t="inlineStr">
        <is>
          <t>Monthly /unit (final)</t>
        </is>
      </c>
      <c r="R6" s="18" t="inlineStr">
        <is>
          <t>Once-off/unit</t>
        </is>
      </c>
      <c r="S6" s="18" t="inlineStr">
        <is>
          <t>Line once-off</t>
        </is>
      </c>
      <c r="T6" s="18" t="inlineStr">
        <is>
          <t>Line monthly</t>
        </is>
      </c>
    </row>
    <row r="7">
      <c r="A7" s="14" t="inlineStr">
        <is>
          <t>Long-haul trucks</t>
        </is>
      </c>
      <c r="B7" s="12" t="n">
        <v>12</v>
      </c>
      <c r="C7" s="14" t="inlineStr">
        <is>
          <t>CAN</t>
        </is>
      </c>
      <c r="D7" s="19" t="inlineStr">
        <is>
          <t>Y</t>
        </is>
      </c>
      <c r="E7" s="19" t="inlineStr">
        <is>
          <t>Y</t>
        </is>
      </c>
      <c r="F7" s="19" t="inlineStr">
        <is>
          <t>Y</t>
        </is>
      </c>
      <c r="G7" s="19" t="inlineStr">
        <is>
          <t>N</t>
        </is>
      </c>
      <c r="H7" s="19" t="inlineStr">
        <is>
          <t>Y</t>
        </is>
      </c>
      <c r="I7" s="14" t="inlineStr">
        <is>
          <t>Standard</t>
        </is>
      </c>
      <c r="J7" s="20">
        <f>IF(B7=0,0,'Cost Inputs'!$B$5+'Cost Inputs'!$B$14+'Cost Inputs'!$B$15+IF(C7="CAN",'Cost Inputs'!$B$6,IF(C7="OBD",'Cost Inputs'!$B$7,IF(C7="Probe",'Cost Inputs'!$B$8,0)))+IF(D7="Y",'Cost Inputs'!$B$9,0)+IF(E7="Y",'Cost Inputs'!$B$10,0)+IF(F7="Y",'Cost Inputs'!$B$11,0)+IF(G7="Y",'Cost Inputs'!$B$12,0)+IF(H7="Y",'Cost Inputs'!$B$13,0))</f>
        <v/>
      </c>
      <c r="K7" s="20">
        <f>IF(I7="Basic",'Cost Inputs'!$B$18,IF(I7="Standard",'Cost Inputs'!$B$19,IF(I7="Advanced",'Cost Inputs'!$B$20,0)))</f>
        <v/>
      </c>
      <c r="L7" s="20">
        <f>J7*(1+'Cost Inputs'!$B$36)</f>
        <v/>
      </c>
      <c r="M7" s="20">
        <f>K7*(1+'Cost Inputs'!$B$37)</f>
        <v/>
      </c>
      <c r="N7" s="20">
        <f>SUM('Cost Inputs'!$B$26:$B$32)</f>
        <v/>
      </c>
      <c r="O7" s="20">
        <f>N7/(1-'Cost Inputs'!$B$35)+IF($B$3="Amortised",L7/$F$3,0)</f>
        <v/>
      </c>
      <c r="P7" s="21">
        <f>$K$4</f>
        <v/>
      </c>
      <c r="Q7" s="20">
        <f>O7*(1-P7)</f>
        <v/>
      </c>
      <c r="R7" s="20">
        <f>M7+IF($B$3="Amortised",0,L7)</f>
        <v/>
      </c>
      <c r="S7" s="20">
        <f>B7*R7</f>
        <v/>
      </c>
      <c r="T7" s="20">
        <f>B7*Q7</f>
        <v/>
      </c>
    </row>
    <row r="8">
      <c r="A8" s="14" t="inlineStr">
        <is>
          <t>Delivery vans</t>
        </is>
      </c>
      <c r="B8" s="12" t="n">
        <v>14</v>
      </c>
      <c r="C8" s="14" t="inlineStr">
        <is>
          <t>OBD</t>
        </is>
      </c>
      <c r="D8" s="19" t="inlineStr">
        <is>
          <t>Y</t>
        </is>
      </c>
      <c r="E8" s="19" t="inlineStr">
        <is>
          <t>N</t>
        </is>
      </c>
      <c r="F8" s="19" t="inlineStr">
        <is>
          <t>Y</t>
        </is>
      </c>
      <c r="G8" s="19" t="inlineStr">
        <is>
          <t>N</t>
        </is>
      </c>
      <c r="H8" s="19" t="inlineStr">
        <is>
          <t>N</t>
        </is>
      </c>
      <c r="I8" s="14" t="inlineStr">
        <is>
          <t>Basic</t>
        </is>
      </c>
      <c r="J8" s="20">
        <f>IF(B8=0,0,'Cost Inputs'!$B$5+'Cost Inputs'!$B$14+'Cost Inputs'!$B$15+IF(C8="CAN",'Cost Inputs'!$B$6,IF(C8="OBD",'Cost Inputs'!$B$7,IF(C8="Probe",'Cost Inputs'!$B$8,0)))+IF(D8="Y",'Cost Inputs'!$B$9,0)+IF(E8="Y",'Cost Inputs'!$B$10,0)+IF(F8="Y",'Cost Inputs'!$B$11,0)+IF(G8="Y",'Cost Inputs'!$B$12,0)+IF(H8="Y",'Cost Inputs'!$B$13,0))</f>
        <v/>
      </c>
      <c r="K8" s="20">
        <f>IF(I8="Basic",'Cost Inputs'!$B$18,IF(I8="Standard",'Cost Inputs'!$B$19,IF(I8="Advanced",'Cost Inputs'!$B$20,0)))</f>
        <v/>
      </c>
      <c r="L8" s="20">
        <f>J8*(1+'Cost Inputs'!$B$36)</f>
        <v/>
      </c>
      <c r="M8" s="20">
        <f>K8*(1+'Cost Inputs'!$B$37)</f>
        <v/>
      </c>
      <c r="N8" s="20">
        <f>SUM('Cost Inputs'!$B$26:$B$32)</f>
        <v/>
      </c>
      <c r="O8" s="20">
        <f>N8/(1-'Cost Inputs'!$B$35)+IF($B$3="Amortised",L8/$F$3,0)</f>
        <v/>
      </c>
      <c r="P8" s="21">
        <f>$K$4</f>
        <v/>
      </c>
      <c r="Q8" s="20">
        <f>O8*(1-P8)</f>
        <v/>
      </c>
      <c r="R8" s="20">
        <f>M8+IF($B$3="Amortised",0,L8)</f>
        <v/>
      </c>
      <c r="S8" s="20">
        <f>B8*R8</f>
        <v/>
      </c>
      <c r="T8" s="20">
        <f>B8*Q8</f>
        <v/>
      </c>
    </row>
    <row r="9">
      <c r="A9" s="14" t="inlineStr">
        <is>
          <t>Reefer trucks</t>
        </is>
      </c>
      <c r="B9" s="12" t="n">
        <v>4</v>
      </c>
      <c r="C9" s="14" t="inlineStr">
        <is>
          <t>CAN</t>
        </is>
      </c>
      <c r="D9" s="19" t="inlineStr">
        <is>
          <t>Y</t>
        </is>
      </c>
      <c r="E9" s="19" t="inlineStr">
        <is>
          <t>Y</t>
        </is>
      </c>
      <c r="F9" s="19" t="inlineStr">
        <is>
          <t>Y</t>
        </is>
      </c>
      <c r="G9" s="19" t="inlineStr">
        <is>
          <t>Y</t>
        </is>
      </c>
      <c r="H9" s="19" t="inlineStr">
        <is>
          <t>Y</t>
        </is>
      </c>
      <c r="I9" s="14" t="inlineStr">
        <is>
          <t>Advanced</t>
        </is>
      </c>
      <c r="J9" s="20">
        <f>IF(B9=0,0,'Cost Inputs'!$B$5+'Cost Inputs'!$B$14+'Cost Inputs'!$B$15+IF(C9="CAN",'Cost Inputs'!$B$6,IF(C9="OBD",'Cost Inputs'!$B$7,IF(C9="Probe",'Cost Inputs'!$B$8,0)))+IF(D9="Y",'Cost Inputs'!$B$9,0)+IF(E9="Y",'Cost Inputs'!$B$10,0)+IF(F9="Y",'Cost Inputs'!$B$11,0)+IF(G9="Y",'Cost Inputs'!$B$12,0)+IF(H9="Y",'Cost Inputs'!$B$13,0))</f>
        <v/>
      </c>
      <c r="K9" s="20">
        <f>IF(I9="Basic",'Cost Inputs'!$B$18,IF(I9="Standard",'Cost Inputs'!$B$19,IF(I9="Advanced",'Cost Inputs'!$B$20,0)))</f>
        <v/>
      </c>
      <c r="L9" s="20">
        <f>J9*(1+'Cost Inputs'!$B$36)</f>
        <v/>
      </c>
      <c r="M9" s="20">
        <f>K9*(1+'Cost Inputs'!$B$37)</f>
        <v/>
      </c>
      <c r="N9" s="20">
        <f>SUM('Cost Inputs'!$B$26:$B$32)</f>
        <v/>
      </c>
      <c r="O9" s="20">
        <f>N9/(1-'Cost Inputs'!$B$35)+IF($B$3="Amortised",L9/$F$3,0)</f>
        <v/>
      </c>
      <c r="P9" s="21">
        <f>$K$4</f>
        <v/>
      </c>
      <c r="Q9" s="20">
        <f>O9*(1-P9)</f>
        <v/>
      </c>
      <c r="R9" s="20">
        <f>M9+IF($B$3="Amortised",0,L9)</f>
        <v/>
      </c>
      <c r="S9" s="20">
        <f>B9*R9</f>
        <v/>
      </c>
      <c r="T9" s="20">
        <f>B9*Q9</f>
        <v/>
      </c>
    </row>
    <row r="10">
      <c r="A10" s="14" t="inlineStr"/>
      <c r="B10" s="12" t="n"/>
      <c r="C10" s="14" t="inlineStr">
        <is>
          <t>None</t>
        </is>
      </c>
      <c r="D10" s="19" t="inlineStr">
        <is>
          <t>N</t>
        </is>
      </c>
      <c r="E10" s="19" t="inlineStr">
        <is>
          <t>N</t>
        </is>
      </c>
      <c r="F10" s="19" t="inlineStr">
        <is>
          <t>N</t>
        </is>
      </c>
      <c r="G10" s="19" t="inlineStr">
        <is>
          <t>N</t>
        </is>
      </c>
      <c r="H10" s="19" t="inlineStr">
        <is>
          <t>N</t>
        </is>
      </c>
      <c r="I10" s="14" t="inlineStr">
        <is>
          <t>Basic</t>
        </is>
      </c>
      <c r="J10" s="20">
        <f>IF(B10=0,0,'Cost Inputs'!$B$5+'Cost Inputs'!$B$14+'Cost Inputs'!$B$15+IF(C10="CAN",'Cost Inputs'!$B$6,IF(C10="OBD",'Cost Inputs'!$B$7,IF(C10="Probe",'Cost Inputs'!$B$8,0)))+IF(D10="Y",'Cost Inputs'!$B$9,0)+IF(E10="Y",'Cost Inputs'!$B$10,0)+IF(F10="Y",'Cost Inputs'!$B$11,0)+IF(G10="Y",'Cost Inputs'!$B$12,0)+IF(H10="Y",'Cost Inputs'!$B$13,0))</f>
        <v/>
      </c>
      <c r="K10" s="20">
        <f>IF(I10="Basic",'Cost Inputs'!$B$18,IF(I10="Standard",'Cost Inputs'!$B$19,IF(I10="Advanced",'Cost Inputs'!$B$20,0)))</f>
        <v/>
      </c>
      <c r="L10" s="20">
        <f>J10*(1+'Cost Inputs'!$B$36)</f>
        <v/>
      </c>
      <c r="M10" s="20">
        <f>K10*(1+'Cost Inputs'!$B$37)</f>
        <v/>
      </c>
      <c r="N10" s="20">
        <f>SUM('Cost Inputs'!$B$26:$B$32)</f>
        <v/>
      </c>
      <c r="O10" s="20">
        <f>N10/(1-'Cost Inputs'!$B$35)+IF($B$3="Amortised",L10/$F$3,0)</f>
        <v/>
      </c>
      <c r="P10" s="21">
        <f>$K$4</f>
        <v/>
      </c>
      <c r="Q10" s="20">
        <f>O10*(1-P10)</f>
        <v/>
      </c>
      <c r="R10" s="20">
        <f>M10+IF($B$3="Amortised",0,L10)</f>
        <v/>
      </c>
      <c r="S10" s="20">
        <f>B10*R10</f>
        <v/>
      </c>
      <c r="T10" s="20">
        <f>B10*Q10</f>
        <v/>
      </c>
    </row>
    <row r="11">
      <c r="A11" s="14" t="inlineStr"/>
      <c r="B11" s="12" t="n"/>
      <c r="C11" s="14" t="inlineStr">
        <is>
          <t>None</t>
        </is>
      </c>
      <c r="D11" s="19" t="inlineStr">
        <is>
          <t>N</t>
        </is>
      </c>
      <c r="E11" s="19" t="inlineStr">
        <is>
          <t>N</t>
        </is>
      </c>
      <c r="F11" s="19" t="inlineStr">
        <is>
          <t>N</t>
        </is>
      </c>
      <c r="G11" s="19" t="inlineStr">
        <is>
          <t>N</t>
        </is>
      </c>
      <c r="H11" s="19" t="inlineStr">
        <is>
          <t>N</t>
        </is>
      </c>
      <c r="I11" s="14" t="inlineStr">
        <is>
          <t>Basic</t>
        </is>
      </c>
      <c r="J11" s="20">
        <f>IF(B11=0,0,'Cost Inputs'!$B$5+'Cost Inputs'!$B$14+'Cost Inputs'!$B$15+IF(C11="CAN",'Cost Inputs'!$B$6,IF(C11="OBD",'Cost Inputs'!$B$7,IF(C11="Probe",'Cost Inputs'!$B$8,0)))+IF(D11="Y",'Cost Inputs'!$B$9,0)+IF(E11="Y",'Cost Inputs'!$B$10,0)+IF(F11="Y",'Cost Inputs'!$B$11,0)+IF(G11="Y",'Cost Inputs'!$B$12,0)+IF(H11="Y",'Cost Inputs'!$B$13,0))</f>
        <v/>
      </c>
      <c r="K11" s="20">
        <f>IF(I11="Basic",'Cost Inputs'!$B$18,IF(I11="Standard",'Cost Inputs'!$B$19,IF(I11="Advanced",'Cost Inputs'!$B$20,0)))</f>
        <v/>
      </c>
      <c r="L11" s="20">
        <f>J11*(1+'Cost Inputs'!$B$36)</f>
        <v/>
      </c>
      <c r="M11" s="20">
        <f>K11*(1+'Cost Inputs'!$B$37)</f>
        <v/>
      </c>
      <c r="N11" s="20">
        <f>SUM('Cost Inputs'!$B$26:$B$32)</f>
        <v/>
      </c>
      <c r="O11" s="20">
        <f>N11/(1-'Cost Inputs'!$B$35)+IF($B$3="Amortised",L11/$F$3,0)</f>
        <v/>
      </c>
      <c r="P11" s="21">
        <f>$K$4</f>
        <v/>
      </c>
      <c r="Q11" s="20">
        <f>O11*(1-P11)</f>
        <v/>
      </c>
      <c r="R11" s="20">
        <f>M11+IF($B$3="Amortised",0,L11)</f>
        <v/>
      </c>
      <c r="S11" s="20">
        <f>B11*R11</f>
        <v/>
      </c>
      <c r="T11" s="20">
        <f>B11*Q11</f>
        <v/>
      </c>
    </row>
    <row r="12">
      <c r="A12" s="14" t="inlineStr"/>
      <c r="B12" s="12" t="n"/>
      <c r="C12" s="14" t="inlineStr">
        <is>
          <t>None</t>
        </is>
      </c>
      <c r="D12" s="19" t="inlineStr">
        <is>
          <t>N</t>
        </is>
      </c>
      <c r="E12" s="19" t="inlineStr">
        <is>
          <t>N</t>
        </is>
      </c>
      <c r="F12" s="19" t="inlineStr">
        <is>
          <t>N</t>
        </is>
      </c>
      <c r="G12" s="19" t="inlineStr">
        <is>
          <t>N</t>
        </is>
      </c>
      <c r="H12" s="19" t="inlineStr">
        <is>
          <t>N</t>
        </is>
      </c>
      <c r="I12" s="14" t="inlineStr">
        <is>
          <t>Basic</t>
        </is>
      </c>
      <c r="J12" s="20">
        <f>IF(B12=0,0,'Cost Inputs'!$B$5+'Cost Inputs'!$B$14+'Cost Inputs'!$B$15+IF(C12="CAN",'Cost Inputs'!$B$6,IF(C12="OBD",'Cost Inputs'!$B$7,IF(C12="Probe",'Cost Inputs'!$B$8,0)))+IF(D12="Y",'Cost Inputs'!$B$9,0)+IF(E12="Y",'Cost Inputs'!$B$10,0)+IF(F12="Y",'Cost Inputs'!$B$11,0)+IF(G12="Y",'Cost Inputs'!$B$12,0)+IF(H12="Y",'Cost Inputs'!$B$13,0))</f>
        <v/>
      </c>
      <c r="K12" s="20">
        <f>IF(I12="Basic",'Cost Inputs'!$B$18,IF(I12="Standard",'Cost Inputs'!$B$19,IF(I12="Advanced",'Cost Inputs'!$B$20,0)))</f>
        <v/>
      </c>
      <c r="L12" s="20">
        <f>J12*(1+'Cost Inputs'!$B$36)</f>
        <v/>
      </c>
      <c r="M12" s="20">
        <f>K12*(1+'Cost Inputs'!$B$37)</f>
        <v/>
      </c>
      <c r="N12" s="20">
        <f>SUM('Cost Inputs'!$B$26:$B$32)</f>
        <v/>
      </c>
      <c r="O12" s="20">
        <f>N12/(1-'Cost Inputs'!$B$35)+IF($B$3="Amortised",L12/$F$3,0)</f>
        <v/>
      </c>
      <c r="P12" s="21">
        <f>$K$4</f>
        <v/>
      </c>
      <c r="Q12" s="20">
        <f>O12*(1-P12)</f>
        <v/>
      </c>
      <c r="R12" s="20">
        <f>M12+IF($B$3="Amortised",0,L12)</f>
        <v/>
      </c>
      <c r="S12" s="20">
        <f>B12*R12</f>
        <v/>
      </c>
      <c r="T12" s="20">
        <f>B12*Q12</f>
        <v/>
      </c>
    </row>
    <row r="14">
      <c r="A14" s="3" t="inlineStr">
        <is>
          <t>QUOTE SUMMARY</t>
        </is>
      </c>
    </row>
    <row r="15">
      <c r="A15" s="6" t="inlineStr">
        <is>
          <t>Total units</t>
        </is>
      </c>
      <c r="C15" s="22">
        <f>B4</f>
        <v/>
      </c>
    </row>
    <row r="16">
      <c r="A16" s="6" t="inlineStr">
        <is>
          <t>Hardware + installation (once-off)</t>
        </is>
      </c>
      <c r="C16" s="23">
        <f>SUM(S7:S12)</f>
        <v/>
      </c>
    </row>
    <row r="17">
      <c r="A17" s="6" t="inlineStr">
        <is>
          <t>Account initiation fee</t>
        </is>
      </c>
      <c r="C17" s="24">
        <f>'Cost Inputs'!B23</f>
        <v/>
      </c>
    </row>
    <row r="18">
      <c r="A18" s="13" t="inlineStr">
        <is>
          <t>TOTAL ONCE-OFF</t>
        </is>
      </c>
      <c r="C18" s="25">
        <f>C16+C17</f>
        <v/>
      </c>
    </row>
    <row r="19">
      <c r="A19" s="13" t="inlineStr">
        <is>
          <t>Total monthly subscription</t>
        </is>
      </c>
      <c r="C19" s="25">
        <f>SUM(T7:T12)</f>
        <v/>
      </c>
    </row>
    <row r="20">
      <c r="A20" s="6" t="inlineStr">
        <is>
          <t>Average monthly per unit</t>
        </is>
      </c>
      <c r="C20" s="23">
        <f>IF(C15=0,0,C19/C15)</f>
        <v/>
      </c>
    </row>
    <row r="21">
      <c r="A21" s="6" t="inlineStr">
        <is>
          <t>Contract term (months)</t>
        </is>
      </c>
      <c r="C21" s="22">
        <f>F3</f>
        <v/>
      </c>
    </row>
    <row r="22">
      <c r="A22" s="13" t="inlineStr">
        <is>
          <t>CONTRACT TOTAL VALUE (TCV)</t>
        </is>
      </c>
      <c r="C22" s="25">
        <f>C18+C19*C21</f>
        <v/>
      </c>
    </row>
  </sheetData>
  <mergeCells count="15">
    <mergeCell ref="A1:T1"/>
    <mergeCell ref="A20:B20"/>
    <mergeCell ref="A21:B21"/>
    <mergeCell ref="A16:B16"/>
    <mergeCell ref="A15:B15"/>
    <mergeCell ref="B3:C3"/>
    <mergeCell ref="A19:B19"/>
    <mergeCell ref="A14:C14"/>
    <mergeCell ref="H4:J4"/>
    <mergeCell ref="D4:E4"/>
    <mergeCell ref="A2:T2"/>
    <mergeCell ref="A17:B17"/>
    <mergeCell ref="A18:B18"/>
    <mergeCell ref="D3:E3"/>
    <mergeCell ref="A22:B22"/>
  </mergeCells>
  <dataValidations count="4">
    <dataValidation sqref="B3" showDropDown="0" showInputMessage="0" showErrorMessage="0" allowBlank="0" type="list">
      <formula1>"Upfront,Amortised"</formula1>
    </dataValidation>
    <dataValidation sqref="C7:C12" showDropDown="0" showInputMessage="0" showErrorMessage="0" allowBlank="1" type="list">
      <formula1>"CAN,OBD,Probe,None"</formula1>
    </dataValidation>
    <dataValidation sqref="D7:H12" showDropDown="0" showInputMessage="0" showErrorMessage="0" allowBlank="1" type="list">
      <formula1>"Y,N"</formula1>
    </dataValidation>
    <dataValidation sqref="I7:I12" showDropDown="0" showInputMessage="0" showErrorMessage="0" allowBlank="1" type="list">
      <formula1>"Basic,Standard,Advanced"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22" customWidth="1" min="4" max="4"/>
    <col width="24" customWidth="1" min="5" max="5"/>
  </cols>
  <sheetData>
    <row r="1" ht="26" customHeight="1">
      <c r="A1" s="1" t="inlineStr">
        <is>
          <t>myTrack — Tier Reference Rate Card</t>
        </is>
      </c>
    </row>
    <row r="2">
      <c r="A2" s="2" t="inlineStr">
        <is>
          <t>Indicative pricing for a STANDARD config (FMB tracker + CAN + panic button, standard install). Driven live from Cost Inputs.</t>
        </is>
      </c>
    </row>
    <row r="4">
      <c r="A4" s="13" t="inlineStr">
        <is>
          <t>Reference config — per unit</t>
        </is>
      </c>
    </row>
    <row r="5">
      <c r="A5" t="inlineStr">
        <is>
          <t>Hardware cost</t>
        </is>
      </c>
      <c r="B5" s="24">
        <f>'Cost Inputs'!B5+'Cost Inputs'!B14+'Cost Inputs'!B15+'Cost Inputs'!B6+'Cost Inputs'!B9</f>
        <v/>
      </c>
    </row>
    <row r="6">
      <c r="A6" t="inlineStr">
        <is>
          <t>Hardware price (with markup)</t>
        </is>
      </c>
      <c r="B6" s="26">
        <f>B5*(1+'Cost Inputs'!B36)</f>
        <v/>
      </c>
    </row>
    <row r="7">
      <c r="A7" t="inlineStr">
        <is>
          <t>Install price (Standard)</t>
        </is>
      </c>
      <c r="B7" s="26">
        <f>'Cost Inputs'!B19*(1+'Cost Inputs'!B37)</f>
        <v/>
      </c>
    </row>
    <row r="8">
      <c r="A8" t="inlineStr">
        <is>
          <t>Monthly run cost</t>
        </is>
      </c>
      <c r="B8" s="24">
        <f>SUM('Cost Inputs'!B26:B32)</f>
        <v/>
      </c>
    </row>
    <row r="9">
      <c r="A9" t="inlineStr">
        <is>
          <t>Base monthly price (pre-discount)</t>
        </is>
      </c>
      <c r="B9" s="26">
        <f>B8/(1-'Cost Inputs'!B35)</f>
        <v/>
      </c>
    </row>
    <row r="10">
      <c r="A10" t="inlineStr">
        <is>
          <t>Contract term (months)</t>
        </is>
      </c>
      <c r="B10" s="27">
        <f>'Cost Inputs'!B38</f>
        <v/>
      </c>
    </row>
    <row r="12" ht="32" customHeight="1">
      <c r="A12" s="28" t="inlineStr">
        <is>
          <t>Tier</t>
        </is>
      </c>
      <c r="B12" s="28" t="inlineStr">
        <is>
          <t>Fleet size</t>
        </is>
      </c>
      <c r="C12" s="28" t="inlineStr">
        <is>
          <t>Once-off / unit
(upfront HW)</t>
        </is>
      </c>
      <c r="D12" s="28" t="inlineStr">
        <is>
          <t>Monthly / unit
(HW upfront)</t>
        </is>
      </c>
      <c r="E12" s="28" t="inlineStr">
        <is>
          <t>Monthly / unit
(HW amortised)</t>
        </is>
      </c>
    </row>
    <row r="13">
      <c r="A13" s="29" t="inlineStr">
        <is>
          <t>Small</t>
        </is>
      </c>
      <c r="B13" s="30" t="inlineStr">
        <is>
          <t>5 – 20 units</t>
        </is>
      </c>
      <c r="C13" s="20">
        <f>$B$6+$B$7</f>
        <v/>
      </c>
      <c r="D13" s="20">
        <f>$B$9*(1-'Cost Inputs'!B39)</f>
        <v/>
      </c>
      <c r="E13" s="20">
        <f>($B$9+$B$6/$B$10)*(1-'Cost Inputs'!B39)</f>
        <v/>
      </c>
    </row>
    <row r="14">
      <c r="A14" s="29" t="inlineStr">
        <is>
          <t>Medium</t>
        </is>
      </c>
      <c r="B14" s="30" t="inlineStr">
        <is>
          <t>21 – 100 units</t>
        </is>
      </c>
      <c r="C14" s="20">
        <f>$B$6+$B$7</f>
        <v/>
      </c>
      <c r="D14" s="20">
        <f>$B$9*(1-'Cost Inputs'!B40)</f>
        <v/>
      </c>
      <c r="E14" s="20">
        <f>($B$9+$B$6/$B$10)*(1-'Cost Inputs'!B40)</f>
        <v/>
      </c>
    </row>
    <row r="15">
      <c r="A15" s="29" t="inlineStr">
        <is>
          <t>Enterprise</t>
        </is>
      </c>
      <c r="B15" s="30" t="inlineStr">
        <is>
          <t>100+ units</t>
        </is>
      </c>
      <c r="C15" s="20">
        <f>$B$6+$B$7</f>
        <v/>
      </c>
      <c r="D15" s="20">
        <f>$B$9*(1-'Cost Inputs'!B41)</f>
        <v/>
      </c>
      <c r="E15" s="20">
        <f>($B$9+$B$6/$B$10)*(1-'Cost Inputs'!B41)</f>
        <v/>
      </c>
    </row>
    <row r="17">
      <c r="A17" s="2" t="inlineStr">
        <is>
          <t>Discounts are set per tier in Cost Inputs (section D). Amortised column folds hardware into the monthly fee over the contract term.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4" customWidth="1" min="4" max="4"/>
  </cols>
  <sheetData>
    <row r="2" ht="28" customHeight="1">
      <c r="B2" s="1" t="inlineStr">
        <is>
          <t>myTrack — Subscription Proposal</t>
        </is>
      </c>
    </row>
    <row r="3">
      <c r="B3" s="31" t="inlineStr">
        <is>
          <t>Know where your fleet is. Always.</t>
        </is>
      </c>
    </row>
    <row r="5">
      <c r="B5" s="13" t="inlineStr">
        <is>
          <t>Prepared for:</t>
        </is>
      </c>
      <c r="C5" s="14" t="inlineStr">
        <is>
          <t>[Client name]</t>
        </is>
      </c>
    </row>
    <row r="6">
      <c r="B6" s="13" t="inlineStr">
        <is>
          <t>Date:</t>
        </is>
      </c>
      <c r="C6" s="14" t="inlineStr">
        <is>
          <t>[dd/mm/yyyy]</t>
        </is>
      </c>
    </row>
    <row r="7">
      <c r="B7" s="13" t="inlineStr">
        <is>
          <t>Prepared by:</t>
        </is>
      </c>
      <c r="C7" s="14" t="inlineStr">
        <is>
          <t>[Consultant]</t>
        </is>
      </c>
    </row>
    <row r="9">
      <c r="B9" s="3" t="inlineStr">
        <is>
          <t>Your proposal</t>
        </is>
      </c>
      <c r="C9" s="9" t="n"/>
    </row>
    <row r="10">
      <c r="B10" s="6" t="inlineStr">
        <is>
          <t>Fleet size (units)</t>
        </is>
      </c>
      <c r="C10" s="32">
        <f>'Quote Builder'!C15</f>
        <v/>
      </c>
    </row>
    <row r="11">
      <c r="B11" s="6" t="inlineStr">
        <is>
          <t>Contract term (months)</t>
        </is>
      </c>
      <c r="C11" s="32">
        <f>'Quote Builder'!C21</f>
        <v/>
      </c>
    </row>
    <row r="12">
      <c r="B12" t="inlineStr"/>
    </row>
    <row r="13">
      <c r="B13" s="3" t="inlineStr">
        <is>
          <t>Once-off (set-up)</t>
        </is>
      </c>
      <c r="C13" s="9" t="n"/>
    </row>
    <row r="14">
      <c r="B14" s="6" t="inlineStr">
        <is>
          <t>Hardware + installation</t>
        </is>
      </c>
      <c r="C14" s="33">
        <f>'Quote Builder'!C16</f>
        <v/>
      </c>
    </row>
    <row r="15">
      <c r="B15" s="6" t="inlineStr">
        <is>
          <t>Account initiation fee</t>
        </is>
      </c>
      <c r="C15" s="33">
        <f>'Quote Builder'!C17</f>
        <v/>
      </c>
    </row>
    <row r="16">
      <c r="B16" s="13" t="inlineStr">
        <is>
          <t>Total once-off</t>
        </is>
      </c>
      <c r="C16" s="34">
        <f>'Quote Builder'!C18</f>
        <v/>
      </c>
    </row>
    <row r="18">
      <c r="B18" s="3" t="inlineStr">
        <is>
          <t>Monthly subscription</t>
        </is>
      </c>
      <c r="C18" s="9" t="n"/>
    </row>
    <row r="19">
      <c r="B19" s="6" t="inlineStr">
        <is>
          <t>Average per unit / month</t>
        </is>
      </c>
      <c r="C19" s="33">
        <f>'Quote Builder'!C20</f>
        <v/>
      </c>
    </row>
    <row r="20">
      <c r="B20" s="13" t="inlineStr">
        <is>
          <t>Total monthly</t>
        </is>
      </c>
      <c r="C20" s="34">
        <f>'Quote Builder'!C19</f>
        <v/>
      </c>
    </row>
    <row r="22">
      <c r="B22" s="3" t="inlineStr">
        <is>
          <t>Contract total value</t>
        </is>
      </c>
      <c r="C22" s="9" t="n"/>
    </row>
    <row r="23">
      <c r="B23" s="13" t="inlineStr">
        <is>
          <t>TCV (once-off + monthly × term)</t>
        </is>
      </c>
      <c r="C23" s="34">
        <f>'Quote Builder'!C22</f>
        <v/>
      </c>
    </row>
    <row r="25">
      <c r="B25" s="2" t="inlineStr">
        <is>
          <t>Pricing indicative and subject to site survey. Valid 30 days. E&amp;OE.</t>
        </is>
      </c>
    </row>
  </sheetData>
  <mergeCells count="3">
    <mergeCell ref="B25:C25"/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2026-06-24T14:48:23Z</dcterms:created>
  <dcterms:modified xmlns:dcterms="http://purl.org/dc/terms/" xmlns:xsi="http://www.w3.org/2001/XMLSchema-instance" xsi:type="dcterms:W3CDTF">2026-06-24T14:48:23Z</dcterms:modified>
</cp:coreProperties>
</file>